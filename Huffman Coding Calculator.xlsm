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rahgu\Desktop\"/>
    </mc:Choice>
  </mc:AlternateContent>
  <xr:revisionPtr revIDLastSave="0" documentId="13_ncr:1_{AD707D94-B8AB-4CAE-B7EF-3601E76EAF43}" xr6:coauthVersionLast="36" xr6:coauthVersionMax="36" xr10:uidLastSave="{00000000-0000-0000-0000-000000000000}"/>
  <bookViews>
    <workbookView xWindow="0" yWindow="0" windowWidth="23040" windowHeight="9060" xr2:uid="{DCFA3707-EF78-4C84-B39C-DEED8329F350}"/>
  </bookViews>
  <sheets>
    <sheet name="Sheet1" sheetId="2" r:id="rId1"/>
    <sheet name="Sheet2" sheetId="3" r:id="rId2"/>
    <sheet name="Sheet3" sheetId="4" r:id="rId3"/>
  </sheets>
  <definedNames>
    <definedName name="_xlnm._FilterDatabase" localSheetId="0" hidden="1">Sheet1!$C$5:$E$11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" i="2" l="1"/>
  <c r="U6" i="2"/>
  <c r="E16" i="2"/>
  <c r="D19" i="2"/>
  <c r="C11" i="4" l="1"/>
  <c r="C13" i="4" s="1"/>
  <c r="C15" i="4" s="1"/>
  <c r="F11" i="2" l="1"/>
  <c r="F10" i="2"/>
  <c r="F9" i="2"/>
  <c r="F8" i="2"/>
  <c r="F7" i="2"/>
  <c r="F6" i="2"/>
  <c r="G19" i="2"/>
  <c r="F22" i="2" s="1"/>
  <c r="F24" i="2" s="1"/>
</calcChain>
</file>

<file path=xl/sharedStrings.xml><?xml version="1.0" encoding="utf-8"?>
<sst xmlns="http://schemas.openxmlformats.org/spreadsheetml/2006/main" count="122" uniqueCount="87">
  <si>
    <t>a1</t>
  </si>
  <si>
    <t>a2</t>
  </si>
  <si>
    <t>a3</t>
  </si>
  <si>
    <t>a4</t>
  </si>
  <si>
    <t>a5</t>
  </si>
  <si>
    <t>a6</t>
  </si>
  <si>
    <t>Sembol</t>
  </si>
  <si>
    <t>Olasılık</t>
  </si>
  <si>
    <t>X</t>
  </si>
  <si>
    <t>Y</t>
  </si>
  <si>
    <t>xxx</t>
  </si>
  <si>
    <t>bits/pixel</t>
  </si>
  <si>
    <t>=</t>
  </si>
  <si>
    <t>Huffman</t>
  </si>
  <si>
    <t>Codes</t>
  </si>
  <si>
    <t xml:space="preserve">Artıklık Değeri = </t>
  </si>
  <si>
    <t>Sembol Değeri</t>
  </si>
  <si>
    <t xml:space="preserve"> </t>
  </si>
  <si>
    <t>b=</t>
  </si>
  <si>
    <t>b'=</t>
  </si>
  <si>
    <t>BINtoDEC</t>
  </si>
  <si>
    <t xml:space="preserve"> C = b/b'</t>
  </si>
  <si>
    <t>R=1-(1/C)</t>
  </si>
  <si>
    <t>BINARY CODES</t>
  </si>
  <si>
    <t>Sembollerin Bit genişliği</t>
  </si>
  <si>
    <t>Mesaj Uzunluğu</t>
  </si>
  <si>
    <t>Sıkıştırma Oranı  ( C )</t>
  </si>
  <si>
    <t>Sağa doğru ilerlenen ilk adım böylece tamamlanmış olur.</t>
  </si>
  <si>
    <t>Sola doğru gidiş , sizin tarafınızdan Huffman Metoduna göre doldurulmalıdır.</t>
  </si>
  <si>
    <t>4 nolu tablodaki Olasılık değerlerinden büyük olana 0 , küçük olana 1 değeri (BINARY) verilir.</t>
  </si>
  <si>
    <t>Eğer 4 nolu tablodaki Olasılık değerlerinde eşitlik varsa , 3 nolu tablodan toplanarak gelen değer 4 nolu tabloda en alta yazılır ve üsttekine 0 alttakine 1 verilir.</t>
  </si>
  <si>
    <t>Sola doğru en başa kadar BINARY kodları vermeyi tamamladığınızda Lavg , Sıkıştırma Oranı ve Artıklık Değeri otomatik olarak hesaplanacaktır.</t>
  </si>
  <si>
    <t>Sembollerin Bit Genişliği ve Mesafe uzunluğu değişirse , bu alanlara yeni değerleri yazınız.</t>
  </si>
  <si>
    <t>AÇIKLAMA</t>
  </si>
  <si>
    <t>Artıklık Değeri  ( R )</t>
  </si>
  <si>
    <t>Sembol Değerleri alanına a değerlerini sırasıyla yazınız.</t>
  </si>
  <si>
    <t>Sembol alanına a1 den a6 ya kadar text şekilde değişkenleri yazınız.</t>
  </si>
  <si>
    <t>GO butonuna basınız.</t>
  </si>
  <si>
    <t>Tabloyu soldan sağa doğru BINARY şekilde çözümleyiniz.</t>
  </si>
  <si>
    <t>Toplanarak bulunan değer</t>
  </si>
  <si>
    <t xml:space="preserve">X ve Y </t>
  </si>
  <si>
    <t>Toplanırken kullanılan değerler</t>
  </si>
  <si>
    <t>L.avg</t>
  </si>
  <si>
    <t>Sıkıştırma Oranı  =</t>
  </si>
  <si>
    <t>Excel de macroları etkinleştiriniz.</t>
  </si>
  <si>
    <t>Orjinal Kaynak tablosundaki ilk "Olasılık Değerleri" kendi içlerinde büyükten küçüğe sıralanır</t>
  </si>
  <si>
    <t>Büyükten küçüğe sıralanan olasılık değerleri 1 nolu tablodaki "Olasılık" sütununa aynen yazılır ve en küçük 2 değer kendi içinde toplanarak tek bir değer gibi yazılır. Daha sonra yeniden kendi içinde büyükten küçüğe sıralanır.</t>
  </si>
  <si>
    <t>1 nolu tabloda yeniden sıralanmış "Olasılık Değerler"i , 2 nolu tablodaki "Olasılık" sütununa taşınır ve yine en alttaki en küçük 2 değer toplanarak tek bir değer gibi yazılır. Daha sonra yeniden kendi içinde büyükten küçüğe sıralanır.</t>
  </si>
  <si>
    <t>2 nolu tabloda yeniden sıralanmış "Olasılık Değerler"i , 3 nolu tablodaki "Olasılık" sütununa taşınır ve yine en alttaki en küçük 2 değer toplanarak tek bir değer gibi yazılır. Daha sonra yeniden kendi içinde büyükten küçüğe sıralanır.</t>
  </si>
  <si>
    <t>3 nolu tabloda yeniden sıralanmış "Olasılık Değerler"i , 4 nolu tablodaki "Olasılık" sütununa taşınır ve yine en alttaki en küçük 2 değer toplanarak tek bir değer gibi yazılır. Daha sonra yeniden kendi içinde büyükten küçüğe sıralanır.</t>
  </si>
  <si>
    <t>KULLANIM</t>
  </si>
  <si>
    <t>ORJİNAL KAYNAK</t>
  </si>
  <si>
    <t>KAYNAK İNDİRGEME</t>
  </si>
  <si>
    <t>Berkant</t>
  </si>
  <si>
    <t>Rauf</t>
  </si>
  <si>
    <t>Ataberk</t>
  </si>
  <si>
    <t>Davut</t>
  </si>
  <si>
    <t>Mete</t>
  </si>
  <si>
    <t>Sertaç</t>
  </si>
  <si>
    <t>Neslihan</t>
  </si>
  <si>
    <t>Faru</t>
  </si>
  <si>
    <t>Aytaç</t>
  </si>
  <si>
    <t>Burak Kaan</t>
  </si>
  <si>
    <t>İsa</t>
  </si>
  <si>
    <t>Melih</t>
  </si>
  <si>
    <t>Sadık</t>
  </si>
  <si>
    <t>Emrah</t>
  </si>
  <si>
    <t>Satır No</t>
  </si>
  <si>
    <t>a7*</t>
  </si>
  <si>
    <t>a8*</t>
  </si>
  <si>
    <t>Huffman Bitleri(1-2…)</t>
  </si>
  <si>
    <t>Olasılıklar</t>
  </si>
  <si>
    <t>Orijinal mesaj uzunluğu (b)</t>
  </si>
  <si>
    <t>Bit uzunluğu</t>
  </si>
  <si>
    <t>Uzunluk(b')</t>
  </si>
  <si>
    <t>Compression Ratio</t>
  </si>
  <si>
    <t>Redunduncy</t>
  </si>
  <si>
    <t>1</t>
  </si>
  <si>
    <t>00</t>
  </si>
  <si>
    <t>01</t>
  </si>
  <si>
    <t>000</t>
  </si>
  <si>
    <t>001</t>
  </si>
  <si>
    <t>010</t>
  </si>
  <si>
    <t>011</t>
  </si>
  <si>
    <t>0000</t>
  </si>
  <si>
    <t>0001</t>
  </si>
  <si>
    <t>b' = L.avg değerine eşittir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</si>
</sst>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"/>
  </numFmts>
  <fonts count="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49" fontId="0" fillId="3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9" fontId="0" fillId="3" borderId="5" xfId="0" applyNumberFormat="1" applyFill="1" applyBorder="1" applyAlignment="1">
      <alignment horizontal="center" vertical="center"/>
    </xf>
    <xf numFmtId="0" fontId="1" fillId="2" borderId="9" xfId="0" applyFont="1" applyFill="1" applyBorder="1"/>
    <xf numFmtId="0" fontId="1" fillId="2" borderId="10" xfId="0" applyFont="1" applyFill="1" applyBorder="1" applyAlignment="1"/>
    <xf numFmtId="0" fontId="1" fillId="2" borderId="10" xfId="0" applyFont="1" applyFill="1" applyBorder="1"/>
    <xf numFmtId="0" fontId="1" fillId="2" borderId="11" xfId="0" applyFont="1" applyFill="1" applyBorder="1"/>
    <xf numFmtId="4" fontId="0" fillId="3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1" fillId="2" borderId="12" xfId="0" applyFont="1" applyFill="1" applyBorder="1" applyAlignment="1">
      <alignment horizontal="left"/>
    </xf>
    <xf numFmtId="4" fontId="0" fillId="3" borderId="5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2" xfId="0" applyNumberFormat="1" applyFill="1" applyBorder="1" applyAlignment="1">
      <alignment horizontal="center"/>
    </xf>
    <xf numFmtId="0" fontId="0" fillId="4" borderId="0" xfId="0" applyNumberFormat="1" applyFill="1" applyBorder="1" applyAlignment="1">
      <alignment horizontal="center"/>
    </xf>
    <xf numFmtId="0" fontId="0" fillId="4" borderId="5" xfId="0" applyNumberFormat="1" applyFill="1" applyBorder="1" applyAlignment="1">
      <alignment horizont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4" fontId="0" fillId="3" borderId="4" xfId="0" applyNumberFormat="1" applyFill="1" applyBorder="1" applyAlignment="1">
      <alignment vertical="center"/>
    </xf>
    <xf numFmtId="4" fontId="0" fillId="3" borderId="5" xfId="0" applyNumberForma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49" fontId="0" fillId="2" borderId="0" xfId="0" applyNumberFormat="1" applyFill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0" fontId="0" fillId="5" borderId="12" xfId="0" applyFill="1" applyBorder="1" applyAlignment="1">
      <alignment vertical="center" wrapText="1"/>
    </xf>
    <xf numFmtId="0" fontId="0" fillId="6" borderId="9" xfId="0" applyFill="1" applyBorder="1" applyAlignment="1">
      <alignment horizontal="center"/>
    </xf>
    <xf numFmtId="0" fontId="0" fillId="3" borderId="2" xfId="0" applyFill="1" applyBorder="1" applyAlignment="1"/>
    <xf numFmtId="0" fontId="0" fillId="3" borderId="5" xfId="0" applyFill="1" applyBorder="1" applyAlignment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1" fillId="2" borderId="14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0" xfId="0" applyFill="1" applyBorder="1"/>
    <xf numFmtId="0" fontId="0" fillId="3" borderId="8" xfId="0" applyFill="1" applyBorder="1"/>
    <xf numFmtId="0" fontId="0" fillId="3" borderId="4" xfId="0" applyFill="1" applyBorder="1" applyAlignment="1">
      <alignment horizontal="center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4" fontId="0" fillId="3" borderId="0" xfId="0" applyNumberForma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4" fontId="0" fillId="3" borderId="5" xfId="0" applyNumberFormat="1" applyFill="1" applyBorder="1" applyAlignment="1">
      <alignment horizontal="center" vertical="center"/>
    </xf>
    <xf numFmtId="4" fontId="0" fillId="3" borderId="6" xfId="0" applyNumberForma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2" borderId="8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0" fillId="3" borderId="8" xfId="0" applyNumberForma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2" borderId="3" xfId="0" applyNumberForma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left"/>
    </xf>
    <xf numFmtId="0" fontId="1" fillId="2" borderId="12" xfId="0" applyFont="1" applyFill="1" applyBorder="1" applyAlignment="1">
      <alignment horizontal="center"/>
    </xf>
    <xf numFmtId="165" fontId="1" fillId="2" borderId="12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center"/>
    </xf>
    <xf numFmtId="2" fontId="1" fillId="2" borderId="10" xfId="0" applyNumberFormat="1" applyFont="1" applyFill="1" applyBorder="1" applyAlignment="1">
      <alignment horizontal="center"/>
    </xf>
    <xf numFmtId="2" fontId="1" fillId="2" borderId="14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11</xdr:row>
          <xdr:rowOff>30480</xdr:rowOff>
        </xdr:from>
        <xdr:to>
          <xdr:col>23</xdr:col>
          <xdr:colOff>0</xdr:colOff>
          <xdr:row>17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8A9B3-21D6-4290-AB96-7F5B3F2DA8D0}">
  <sheetPr codeName="Sheet1"/>
  <dimension ref="A2:AC48"/>
  <sheetViews>
    <sheetView tabSelected="1" topLeftCell="A4" workbookViewId="0">
      <selection activeCell="J27" sqref="J27"/>
    </sheetView>
  </sheetViews>
  <sheetFormatPr defaultColWidth="4.21875" defaultRowHeight="14.4" x14ac:dyDescent="0.3"/>
  <cols>
    <col min="1" max="1" width="3.77734375" style="1" customWidth="1"/>
    <col min="2" max="2" width="15.33203125" style="1" customWidth="1"/>
    <col min="3" max="3" width="7.109375" style="1" customWidth="1"/>
    <col min="4" max="4" width="6.77734375" style="1" bestFit="1" customWidth="1"/>
    <col min="5" max="5" width="9.33203125" style="1" customWidth="1"/>
    <col min="6" max="6" width="9.44140625" style="1" customWidth="1"/>
    <col min="7" max="7" width="13.44140625" style="1" customWidth="1"/>
    <col min="8" max="8" width="4.77734375" style="1" customWidth="1"/>
    <col min="9" max="9" width="6.33203125" style="1" customWidth="1"/>
    <col min="10" max="10" width="6.77734375" style="1" customWidth="1"/>
    <col min="11" max="11" width="8.109375" style="1" customWidth="1"/>
    <col min="12" max="12" width="4.77734375" style="1" customWidth="1"/>
    <col min="13" max="13" width="6.33203125" style="1" customWidth="1"/>
    <col min="14" max="14" width="6.77734375" style="1" customWidth="1"/>
    <col min="15" max="15" width="8.109375" style="1" bestFit="1" customWidth="1"/>
    <col min="16" max="17" width="4.77734375" style="1" customWidth="1"/>
    <col min="18" max="18" width="6.77734375" style="1" customWidth="1"/>
    <col min="19" max="19" width="8.109375" style="1" customWidth="1"/>
    <col min="20" max="20" width="6.33203125" style="1" customWidth="1"/>
    <col min="21" max="21" width="6.77734375" style="1" customWidth="1"/>
    <col min="22" max="22" width="6" style="1" customWidth="1"/>
    <col min="23" max="23" width="7.21875" style="1" customWidth="1"/>
    <col min="24" max="25" width="4.21875" style="1"/>
    <col min="26" max="26" width="5.5546875" style="1" bestFit="1" customWidth="1"/>
    <col min="27" max="27" width="8.109375" style="1" bestFit="1" customWidth="1"/>
    <col min="28" max="28" width="4.21875" style="1"/>
    <col min="29" max="29" width="5.44140625" style="1" customWidth="1"/>
    <col min="30" max="16384" width="4.21875" style="1"/>
  </cols>
  <sheetData>
    <row r="2" spans="2:26" x14ac:dyDescent="0.3">
      <c r="C2" s="81" t="s">
        <v>51</v>
      </c>
      <c r="D2" s="82"/>
      <c r="E2" s="82"/>
      <c r="F2" s="82"/>
      <c r="G2" s="82"/>
      <c r="H2" s="81" t="s">
        <v>52</v>
      </c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3"/>
    </row>
    <row r="3" spans="2:26" x14ac:dyDescent="0.3">
      <c r="C3" s="84"/>
      <c r="D3" s="85"/>
      <c r="E3" s="85"/>
      <c r="F3" s="85"/>
      <c r="G3" s="85"/>
      <c r="H3" s="84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</row>
    <row r="4" spans="2:26" ht="25.8" customHeight="1" x14ac:dyDescent="0.3">
      <c r="B4" s="31"/>
      <c r="C4" s="21"/>
      <c r="D4" s="22"/>
      <c r="E4" s="22"/>
      <c r="F4" s="46"/>
      <c r="G4" s="46"/>
      <c r="H4" s="81">
        <v>1</v>
      </c>
      <c r="I4" s="82"/>
      <c r="J4" s="82"/>
      <c r="K4" s="83"/>
      <c r="L4" s="81">
        <v>2</v>
      </c>
      <c r="M4" s="82"/>
      <c r="N4" s="82"/>
      <c r="O4" s="83"/>
      <c r="P4" s="81">
        <v>3</v>
      </c>
      <c r="Q4" s="82"/>
      <c r="R4" s="82"/>
      <c r="S4" s="83"/>
      <c r="T4" s="81">
        <v>4</v>
      </c>
      <c r="U4" s="82"/>
      <c r="V4" s="82"/>
      <c r="W4" s="83"/>
    </row>
    <row r="5" spans="2:26" ht="13.8" customHeight="1" x14ac:dyDescent="0.3">
      <c r="B5" s="44" t="s">
        <v>16</v>
      </c>
      <c r="C5" s="23" t="s">
        <v>6</v>
      </c>
      <c r="D5" s="38" t="s">
        <v>7</v>
      </c>
      <c r="E5" s="24"/>
      <c r="F5" s="47" t="s">
        <v>20</v>
      </c>
      <c r="G5" s="47" t="s">
        <v>23</v>
      </c>
      <c r="H5" s="32"/>
      <c r="I5" s="33"/>
      <c r="J5" s="24" t="s">
        <v>7</v>
      </c>
      <c r="K5" s="25"/>
      <c r="L5" s="32"/>
      <c r="M5" s="33"/>
      <c r="N5" s="38" t="s">
        <v>7</v>
      </c>
      <c r="O5" s="25"/>
      <c r="P5" s="34"/>
      <c r="Q5" s="35"/>
      <c r="R5" s="38" t="s">
        <v>7</v>
      </c>
      <c r="S5" s="25"/>
      <c r="T5" s="32"/>
      <c r="U5" s="38" t="s">
        <v>7</v>
      </c>
      <c r="V5" s="24"/>
      <c r="W5" s="25"/>
    </row>
    <row r="6" spans="2:26" x14ac:dyDescent="0.3">
      <c r="B6" s="45">
        <v>16</v>
      </c>
      <c r="C6" s="14" t="s">
        <v>1</v>
      </c>
      <c r="D6" s="12">
        <v>0.36</v>
      </c>
      <c r="E6" s="12"/>
      <c r="F6" s="26">
        <f>BIN2DEC(G6)</f>
        <v>1</v>
      </c>
      <c r="G6" s="39" t="s">
        <v>77</v>
      </c>
      <c r="H6" s="13"/>
      <c r="I6" s="13"/>
      <c r="J6" s="13">
        <v>0.36</v>
      </c>
      <c r="K6" s="39" t="s">
        <v>77</v>
      </c>
      <c r="L6" s="13"/>
      <c r="M6" s="13"/>
      <c r="N6" s="13">
        <v>0.36</v>
      </c>
      <c r="O6" s="39" t="s">
        <v>77</v>
      </c>
      <c r="P6" s="13"/>
      <c r="Q6" s="13"/>
      <c r="R6" s="13">
        <v>0.36</v>
      </c>
      <c r="S6" s="39" t="s">
        <v>77</v>
      </c>
      <c r="T6" s="13"/>
      <c r="U6" s="13">
        <f>R6</f>
        <v>0.36</v>
      </c>
      <c r="V6" s="93">
        <v>1</v>
      </c>
      <c r="W6" s="94"/>
    </row>
    <row r="7" spans="2:26" x14ac:dyDescent="0.3">
      <c r="B7" s="45">
        <v>13</v>
      </c>
      <c r="C7" s="15" t="s">
        <v>3</v>
      </c>
      <c r="D7" s="5">
        <v>0.16</v>
      </c>
      <c r="E7" s="5"/>
      <c r="F7" s="27">
        <f t="shared" ref="F7:F11" si="0">BIN2DEC(G7)</f>
        <v>1</v>
      </c>
      <c r="G7" s="40" t="s">
        <v>81</v>
      </c>
      <c r="H7" s="20"/>
      <c r="I7" s="42" t="s">
        <v>10</v>
      </c>
      <c r="J7" s="42">
        <v>0.2</v>
      </c>
      <c r="K7" s="40" t="s">
        <v>80</v>
      </c>
      <c r="L7" s="20"/>
      <c r="M7" s="74" t="s">
        <v>10</v>
      </c>
      <c r="N7" s="74">
        <v>0.28000000000000003</v>
      </c>
      <c r="O7" s="40" t="s">
        <v>79</v>
      </c>
      <c r="P7" s="20" t="s">
        <v>8</v>
      </c>
      <c r="Q7" s="74" t="s">
        <v>10</v>
      </c>
      <c r="R7" s="74">
        <v>0.36</v>
      </c>
      <c r="S7" s="40" t="s">
        <v>78</v>
      </c>
      <c r="T7" s="43" t="s">
        <v>10</v>
      </c>
      <c r="U7" s="43">
        <f>R7+R8</f>
        <v>0.64</v>
      </c>
      <c r="V7" s="89">
        <v>0</v>
      </c>
      <c r="W7" s="90"/>
    </row>
    <row r="8" spans="2:26" x14ac:dyDescent="0.3">
      <c r="B8" s="45">
        <v>15</v>
      </c>
      <c r="C8" s="15" t="s">
        <v>2</v>
      </c>
      <c r="D8" s="5">
        <v>0.15</v>
      </c>
      <c r="E8" s="5"/>
      <c r="F8" s="27">
        <f t="shared" si="0"/>
        <v>2</v>
      </c>
      <c r="G8" s="40" t="s">
        <v>82</v>
      </c>
      <c r="H8" s="20"/>
      <c r="I8" s="42"/>
      <c r="J8" s="42">
        <v>0.16</v>
      </c>
      <c r="K8" s="40" t="s">
        <v>81</v>
      </c>
      <c r="L8" s="20" t="s">
        <v>8</v>
      </c>
      <c r="M8" s="20"/>
      <c r="N8" s="20">
        <v>0.2</v>
      </c>
      <c r="O8" s="40" t="s">
        <v>80</v>
      </c>
      <c r="P8" s="20" t="s">
        <v>9</v>
      </c>
      <c r="Q8" s="20"/>
      <c r="R8" s="20">
        <v>0.28000000000000003</v>
      </c>
      <c r="S8" s="40" t="s">
        <v>79</v>
      </c>
      <c r="T8" s="20"/>
      <c r="U8" s="20"/>
      <c r="V8" s="91"/>
      <c r="W8" s="92"/>
    </row>
    <row r="9" spans="2:26" x14ac:dyDescent="0.3">
      <c r="B9" s="45">
        <v>36</v>
      </c>
      <c r="C9" s="15" t="s">
        <v>0</v>
      </c>
      <c r="D9" s="5">
        <v>0.13</v>
      </c>
      <c r="E9" s="5"/>
      <c r="F9" s="27">
        <f t="shared" si="0"/>
        <v>3</v>
      </c>
      <c r="G9" s="40" t="s">
        <v>83</v>
      </c>
      <c r="H9" s="20" t="s">
        <v>8</v>
      </c>
      <c r="I9" s="42"/>
      <c r="J9" s="42">
        <v>0.15</v>
      </c>
      <c r="K9" s="40" t="s">
        <v>82</v>
      </c>
      <c r="L9" s="20" t="s">
        <v>9</v>
      </c>
      <c r="M9" s="20"/>
      <c r="N9" s="20">
        <v>0.16</v>
      </c>
      <c r="O9" s="40" t="s">
        <v>81</v>
      </c>
      <c r="P9" s="20"/>
      <c r="Q9" s="20"/>
      <c r="R9" s="30"/>
      <c r="S9" s="40"/>
      <c r="T9" s="20"/>
      <c r="U9" s="20"/>
      <c r="V9" s="91"/>
      <c r="W9" s="92"/>
    </row>
    <row r="10" spans="2:26" x14ac:dyDescent="0.3">
      <c r="B10" s="45">
        <v>9</v>
      </c>
      <c r="C10" s="15" t="s">
        <v>4</v>
      </c>
      <c r="D10" s="5">
        <v>0.11</v>
      </c>
      <c r="E10" s="5"/>
      <c r="F10" s="27">
        <f t="shared" si="0"/>
        <v>0</v>
      </c>
      <c r="G10" s="40" t="s">
        <v>84</v>
      </c>
      <c r="H10" s="20" t="s">
        <v>9</v>
      </c>
      <c r="I10" s="20"/>
      <c r="J10" s="20">
        <v>0.13</v>
      </c>
      <c r="K10" s="40" t="s">
        <v>83</v>
      </c>
      <c r="L10" s="20"/>
      <c r="M10" s="20"/>
      <c r="N10" s="30"/>
      <c r="O10" s="40"/>
      <c r="P10" s="20"/>
      <c r="Q10" s="20"/>
      <c r="R10" s="4"/>
      <c r="S10" s="40"/>
      <c r="T10" s="20"/>
      <c r="U10" s="20"/>
      <c r="V10" s="91"/>
      <c r="W10" s="92"/>
    </row>
    <row r="11" spans="2:26" x14ac:dyDescent="0.3">
      <c r="B11" s="45">
        <v>11</v>
      </c>
      <c r="C11" s="16" t="s">
        <v>5</v>
      </c>
      <c r="D11" s="6">
        <v>0.09</v>
      </c>
      <c r="E11" s="6"/>
      <c r="F11" s="28">
        <f t="shared" si="0"/>
        <v>1</v>
      </c>
      <c r="G11" s="41" t="s">
        <v>85</v>
      </c>
      <c r="H11" s="19"/>
      <c r="I11" s="19"/>
      <c r="J11" s="29"/>
      <c r="K11" s="41"/>
      <c r="L11" s="19"/>
      <c r="M11" s="19"/>
      <c r="N11" s="7"/>
      <c r="O11" s="41"/>
      <c r="P11" s="19"/>
      <c r="Q11" s="19"/>
      <c r="R11" s="7"/>
      <c r="S11" s="41"/>
      <c r="T11" s="19"/>
      <c r="U11" s="19"/>
      <c r="V11" s="87"/>
      <c r="W11" s="88"/>
    </row>
    <row r="12" spans="2:26" x14ac:dyDescent="0.3">
      <c r="F12" s="17"/>
      <c r="G12" s="36" t="s">
        <v>13</v>
      </c>
    </row>
    <row r="13" spans="2:26" x14ac:dyDescent="0.3">
      <c r="F13" s="17"/>
      <c r="G13" s="37" t="s">
        <v>14</v>
      </c>
      <c r="I13" s="48" t="s">
        <v>10</v>
      </c>
      <c r="J13" s="49" t="s">
        <v>12</v>
      </c>
      <c r="K13" s="49" t="s">
        <v>39</v>
      </c>
      <c r="L13" s="49"/>
      <c r="M13" s="49"/>
      <c r="N13" s="49"/>
      <c r="O13" s="50"/>
    </row>
    <row r="14" spans="2:26" x14ac:dyDescent="0.3">
      <c r="I14" s="51" t="s">
        <v>40</v>
      </c>
      <c r="J14" s="52" t="s">
        <v>12</v>
      </c>
      <c r="K14" s="52" t="s">
        <v>41</v>
      </c>
      <c r="L14" s="52"/>
      <c r="M14" s="52"/>
      <c r="N14" s="52"/>
      <c r="O14" s="53"/>
    </row>
    <row r="15" spans="2:26" x14ac:dyDescent="0.3">
      <c r="Z15" s="5"/>
    </row>
    <row r="16" spans="2:26" x14ac:dyDescent="0.3">
      <c r="C16" s="8" t="s">
        <v>42</v>
      </c>
      <c r="D16" s="9" t="s">
        <v>12</v>
      </c>
      <c r="E16" s="105">
        <f>((D6*F18)*(LEN(G6)))+((D7*F18)*(LEN(G7)))+((D8*F18)*(LEN(G8)))+((D9*F18)*(LEN(G9)))+((D10*F18)*(LEN(G10)))+((D11*F18)*(LEN(G11)))</f>
        <v>248</v>
      </c>
      <c r="F16" s="10" t="s">
        <v>11</v>
      </c>
      <c r="G16" s="11"/>
      <c r="Z16" s="5"/>
    </row>
    <row r="17" spans="1:26" x14ac:dyDescent="0.3">
      <c r="C17" s="95" t="s">
        <v>24</v>
      </c>
      <c r="D17" s="95"/>
      <c r="E17" s="95"/>
      <c r="F17" s="96">
        <v>8</v>
      </c>
      <c r="G17" s="96"/>
      <c r="X17" s="3"/>
      <c r="Z17" s="5"/>
    </row>
    <row r="18" spans="1:26" x14ac:dyDescent="0.3">
      <c r="C18" s="95" t="s">
        <v>25</v>
      </c>
      <c r="D18" s="95"/>
      <c r="E18" s="95"/>
      <c r="F18" s="96">
        <v>100</v>
      </c>
      <c r="G18" s="96"/>
      <c r="J18" s="2"/>
      <c r="K18" s="2"/>
      <c r="X18" s="3"/>
      <c r="Z18" s="5"/>
    </row>
    <row r="19" spans="1:26" x14ac:dyDescent="0.3">
      <c r="C19" s="18" t="s">
        <v>18</v>
      </c>
      <c r="D19" s="54">
        <f>F17*F18</f>
        <v>800</v>
      </c>
      <c r="E19" s="54"/>
      <c r="F19" s="55" t="s">
        <v>19</v>
      </c>
      <c r="G19" s="106">
        <f>E16</f>
        <v>248</v>
      </c>
      <c r="J19" s="2"/>
      <c r="K19" s="2"/>
      <c r="X19" s="3"/>
      <c r="Z19" s="5"/>
    </row>
    <row r="20" spans="1:26" ht="14.4" customHeight="1" x14ac:dyDescent="0.3">
      <c r="C20" s="100" t="s">
        <v>86</v>
      </c>
      <c r="D20" s="101"/>
      <c r="E20" s="101"/>
      <c r="F20" s="101"/>
      <c r="G20" s="102"/>
      <c r="J20" s="2"/>
      <c r="K20" s="107"/>
      <c r="L20" s="107"/>
      <c r="X20" s="3"/>
      <c r="Z20" s="5"/>
    </row>
    <row r="21" spans="1:26" x14ac:dyDescent="0.3">
      <c r="C21" s="95" t="s">
        <v>26</v>
      </c>
      <c r="D21" s="103"/>
      <c r="E21" s="103"/>
      <c r="F21" s="104" t="s">
        <v>21</v>
      </c>
      <c r="G21" s="104"/>
      <c r="J21" s="2"/>
      <c r="K21" s="107"/>
      <c r="L21" s="107"/>
      <c r="X21" s="3"/>
      <c r="Z21" s="5"/>
    </row>
    <row r="22" spans="1:26" x14ac:dyDescent="0.3">
      <c r="C22" s="95" t="s">
        <v>43</v>
      </c>
      <c r="D22" s="95"/>
      <c r="E22" s="95"/>
      <c r="F22" s="96">
        <f>D19/G19</f>
        <v>3.225806451612903</v>
      </c>
      <c r="G22" s="96"/>
      <c r="H22" s="1" t="s">
        <v>17</v>
      </c>
      <c r="J22" s="2"/>
      <c r="K22" s="107"/>
      <c r="L22" s="107"/>
      <c r="X22" s="3"/>
      <c r="Z22" s="5"/>
    </row>
    <row r="23" spans="1:26" x14ac:dyDescent="0.3">
      <c r="C23" s="95" t="s">
        <v>34</v>
      </c>
      <c r="D23" s="95"/>
      <c r="E23" s="95"/>
      <c r="F23" s="98" t="s">
        <v>22</v>
      </c>
      <c r="G23" s="99"/>
      <c r="K23" s="107"/>
      <c r="L23" s="107"/>
      <c r="X23" s="3"/>
      <c r="Z23" s="5"/>
    </row>
    <row r="24" spans="1:26" x14ac:dyDescent="0.3">
      <c r="C24" s="95" t="s">
        <v>15</v>
      </c>
      <c r="D24" s="95"/>
      <c r="E24" s="95"/>
      <c r="F24" s="97">
        <f>1-(1/F22)</f>
        <v>0.69</v>
      </c>
      <c r="G24" s="97"/>
      <c r="K24" s="107"/>
      <c r="L24" s="107"/>
      <c r="X24" s="3"/>
      <c r="Z24" s="5"/>
    </row>
    <row r="25" spans="1:26" x14ac:dyDescent="0.3">
      <c r="X25" s="3"/>
      <c r="Z25" s="5"/>
    </row>
    <row r="26" spans="1:26" x14ac:dyDescent="0.3">
      <c r="X26" s="3"/>
      <c r="Z26" s="5"/>
    </row>
    <row r="27" spans="1:26" x14ac:dyDescent="0.3">
      <c r="B27" s="75" t="s">
        <v>50</v>
      </c>
      <c r="C27" s="76"/>
      <c r="D27" s="76"/>
      <c r="E27" s="76"/>
      <c r="F27" s="76"/>
      <c r="G27" s="77"/>
      <c r="X27" s="3"/>
      <c r="Z27" s="5"/>
    </row>
    <row r="28" spans="1:26" x14ac:dyDescent="0.3">
      <c r="A28" s="56">
        <v>1</v>
      </c>
      <c r="B28" s="49" t="s">
        <v>44</v>
      </c>
      <c r="C28" s="49"/>
      <c r="D28" s="49"/>
      <c r="E28" s="49"/>
      <c r="F28" s="49"/>
      <c r="G28" s="50"/>
      <c r="X28" s="3"/>
      <c r="Z28" s="5"/>
    </row>
    <row r="29" spans="1:26" x14ac:dyDescent="0.3">
      <c r="A29" s="57">
        <v>2</v>
      </c>
      <c r="B29" s="58" t="s">
        <v>35</v>
      </c>
      <c r="C29" s="58"/>
      <c r="D29" s="58"/>
      <c r="E29" s="58"/>
      <c r="F29" s="58"/>
      <c r="G29" s="59"/>
      <c r="X29" s="3"/>
      <c r="Z29" s="5"/>
    </row>
    <row r="30" spans="1:26" x14ac:dyDescent="0.3">
      <c r="A30" s="57">
        <v>3</v>
      </c>
      <c r="B30" s="58" t="s">
        <v>36</v>
      </c>
      <c r="C30" s="58"/>
      <c r="D30" s="58"/>
      <c r="E30" s="58"/>
      <c r="F30" s="58"/>
      <c r="G30" s="59"/>
      <c r="X30" s="3"/>
      <c r="Z30" s="5"/>
    </row>
    <row r="31" spans="1:26" x14ac:dyDescent="0.3">
      <c r="A31" s="57">
        <v>4</v>
      </c>
      <c r="B31" s="58" t="s">
        <v>37</v>
      </c>
      <c r="C31" s="58"/>
      <c r="D31" s="58"/>
      <c r="E31" s="58"/>
      <c r="F31" s="58"/>
      <c r="G31" s="59"/>
      <c r="X31" s="3"/>
      <c r="Z31" s="5"/>
    </row>
    <row r="32" spans="1:26" x14ac:dyDescent="0.3">
      <c r="A32" s="60">
        <v>5</v>
      </c>
      <c r="B32" s="52" t="s">
        <v>38</v>
      </c>
      <c r="C32" s="52"/>
      <c r="D32" s="52"/>
      <c r="E32" s="52"/>
      <c r="F32" s="52"/>
      <c r="G32" s="53"/>
      <c r="X32" s="3"/>
      <c r="Z32" s="5"/>
    </row>
    <row r="33" spans="1:29" x14ac:dyDescent="0.3">
      <c r="X33" s="3"/>
      <c r="Z33" s="5"/>
    </row>
    <row r="34" spans="1:29" x14ac:dyDescent="0.3">
      <c r="B34" s="78" t="s">
        <v>33</v>
      </c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80"/>
    </row>
    <row r="35" spans="1:29" x14ac:dyDescent="0.3">
      <c r="A35" s="56">
        <v>1</v>
      </c>
      <c r="B35" s="61" t="s">
        <v>45</v>
      </c>
      <c r="C35" s="49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49"/>
      <c r="Z35" s="12"/>
      <c r="AA35" s="49"/>
      <c r="AB35" s="49"/>
      <c r="AC35" s="50"/>
    </row>
    <row r="36" spans="1:29" x14ac:dyDescent="0.3">
      <c r="A36" s="57">
        <v>2</v>
      </c>
      <c r="B36" s="62" t="s">
        <v>46</v>
      </c>
      <c r="C36" s="58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58"/>
      <c r="Z36" s="5"/>
      <c r="AA36" s="58"/>
      <c r="AB36" s="58"/>
      <c r="AC36" s="59"/>
    </row>
    <row r="37" spans="1:29" x14ac:dyDescent="0.3">
      <c r="A37" s="57">
        <v>3</v>
      </c>
      <c r="B37" s="62" t="s">
        <v>47</v>
      </c>
      <c r="C37" s="58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58"/>
      <c r="Z37" s="58"/>
      <c r="AA37" s="58"/>
      <c r="AB37" s="58"/>
      <c r="AC37" s="59"/>
    </row>
    <row r="38" spans="1:29" x14ac:dyDescent="0.3">
      <c r="A38" s="57">
        <v>4</v>
      </c>
      <c r="B38" s="62" t="s">
        <v>48</v>
      </c>
      <c r="C38" s="58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58"/>
      <c r="Y38" s="58"/>
      <c r="Z38" s="58"/>
      <c r="AA38" s="58"/>
      <c r="AB38" s="58"/>
      <c r="AC38" s="59"/>
    </row>
    <row r="39" spans="1:29" x14ac:dyDescent="0.3">
      <c r="A39" s="57">
        <v>5</v>
      </c>
      <c r="B39" s="62" t="s">
        <v>49</v>
      </c>
      <c r="C39" s="58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58"/>
      <c r="Z39" s="58"/>
      <c r="AA39" s="58"/>
      <c r="AB39" s="58"/>
      <c r="AC39" s="59"/>
    </row>
    <row r="40" spans="1:29" x14ac:dyDescent="0.3">
      <c r="A40" s="57">
        <v>6</v>
      </c>
      <c r="B40" s="58" t="s">
        <v>27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9"/>
    </row>
    <row r="41" spans="1:29" x14ac:dyDescent="0.3">
      <c r="A41" s="57">
        <v>7</v>
      </c>
      <c r="B41" s="58" t="s">
        <v>29</v>
      </c>
      <c r="C41" s="58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58"/>
      <c r="Y41" s="58"/>
      <c r="Z41" s="58"/>
      <c r="AA41" s="58"/>
      <c r="AB41" s="58"/>
      <c r="AC41" s="59"/>
    </row>
    <row r="42" spans="1:29" x14ac:dyDescent="0.3">
      <c r="A42" s="57">
        <v>8</v>
      </c>
      <c r="B42" s="58" t="s">
        <v>30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62"/>
      <c r="Y42" s="58"/>
      <c r="Z42" s="58"/>
      <c r="AA42" s="58"/>
      <c r="AB42" s="58"/>
      <c r="AC42" s="59"/>
    </row>
    <row r="43" spans="1:29" x14ac:dyDescent="0.3">
      <c r="A43" s="57">
        <v>9</v>
      </c>
      <c r="B43" s="62" t="s">
        <v>28</v>
      </c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9"/>
    </row>
    <row r="44" spans="1:29" x14ac:dyDescent="0.3">
      <c r="A44" s="57">
        <v>10</v>
      </c>
      <c r="B44" s="62" t="s">
        <v>31</v>
      </c>
      <c r="C44" s="58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58"/>
      <c r="Y44" s="58"/>
      <c r="Z44" s="58"/>
      <c r="AA44" s="58"/>
      <c r="AB44" s="58"/>
      <c r="AC44" s="59"/>
    </row>
    <row r="45" spans="1:29" x14ac:dyDescent="0.3">
      <c r="A45" s="60">
        <v>11</v>
      </c>
      <c r="B45" s="63" t="s">
        <v>32</v>
      </c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3"/>
    </row>
    <row r="46" spans="1:29" x14ac:dyDescent="0.3">
      <c r="B46" s="2"/>
    </row>
    <row r="47" spans="1:29" x14ac:dyDescent="0.3">
      <c r="B47" s="2"/>
    </row>
    <row r="48" spans="1:29" x14ac:dyDescent="0.3">
      <c r="B48" s="2"/>
    </row>
  </sheetData>
  <sortState ref="Q6:R8">
    <sortCondition descending="1" ref="R6:R8"/>
  </sortState>
  <mergeCells count="27">
    <mergeCell ref="F17:G17"/>
    <mergeCell ref="F22:G22"/>
    <mergeCell ref="F24:G24"/>
    <mergeCell ref="C23:E23"/>
    <mergeCell ref="F23:G23"/>
    <mergeCell ref="C18:E18"/>
    <mergeCell ref="F18:G18"/>
    <mergeCell ref="C21:E21"/>
    <mergeCell ref="F21:G21"/>
    <mergeCell ref="C17:E17"/>
    <mergeCell ref="C20:G20"/>
    <mergeCell ref="B27:G27"/>
    <mergeCell ref="B34:AC34"/>
    <mergeCell ref="H4:K4"/>
    <mergeCell ref="L4:O4"/>
    <mergeCell ref="C2:G3"/>
    <mergeCell ref="H2:W3"/>
    <mergeCell ref="V11:W11"/>
    <mergeCell ref="V7:W7"/>
    <mergeCell ref="V8:W8"/>
    <mergeCell ref="V9:W9"/>
    <mergeCell ref="V10:W10"/>
    <mergeCell ref="P4:S4"/>
    <mergeCell ref="T4:W4"/>
    <mergeCell ref="V6:W6"/>
    <mergeCell ref="C22:E22"/>
    <mergeCell ref="C24:E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O">
                <anchor moveWithCells="1" sizeWithCells="1">
                  <from>
                    <xdr:col>16</xdr:col>
                    <xdr:colOff>76200</xdr:colOff>
                    <xdr:row>11</xdr:row>
                    <xdr:rowOff>30480</xdr:rowOff>
                  </from>
                  <to>
                    <xdr:col>23</xdr:col>
                    <xdr:colOff>0</xdr:colOff>
                    <xdr:row>17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EBA2F-E6B7-441B-BCEE-94E931F5E584}">
  <sheetPr codeName="Sheet2"/>
  <dimension ref="A3:O10"/>
  <sheetViews>
    <sheetView workbookViewId="0">
      <selection activeCell="A5" sqref="A5:A10"/>
    </sheetView>
  </sheetViews>
  <sheetFormatPr defaultRowHeight="14.4" x14ac:dyDescent="0.3"/>
  <cols>
    <col min="2" max="14" width="10.5546875" style="72" customWidth="1"/>
  </cols>
  <sheetData>
    <row r="3" spans="1:15" x14ac:dyDescent="0.3">
      <c r="B3" s="64" t="s">
        <v>53</v>
      </c>
      <c r="C3" s="65" t="s">
        <v>54</v>
      </c>
      <c r="D3" s="65" t="s">
        <v>55</v>
      </c>
      <c r="E3" s="65" t="s">
        <v>56</v>
      </c>
      <c r="F3" s="64" t="s">
        <v>57</v>
      </c>
      <c r="G3" s="65" t="s">
        <v>58</v>
      </c>
      <c r="H3" s="65" t="s">
        <v>59</v>
      </c>
      <c r="I3" s="65" t="s">
        <v>60</v>
      </c>
      <c r="J3" s="65" t="s">
        <v>61</v>
      </c>
      <c r="K3" s="65" t="s">
        <v>62</v>
      </c>
      <c r="L3" s="65" t="s">
        <v>63</v>
      </c>
      <c r="M3" s="65" t="s">
        <v>64</v>
      </c>
      <c r="N3" s="65" t="s">
        <v>65</v>
      </c>
      <c r="O3" s="66" t="s">
        <v>66</v>
      </c>
    </row>
    <row r="4" spans="1:15" x14ac:dyDescent="0.3">
      <c r="A4" s="67" t="s">
        <v>67</v>
      </c>
      <c r="B4" s="68">
        <v>14</v>
      </c>
      <c r="C4" s="68">
        <v>25</v>
      </c>
      <c r="D4" s="68">
        <v>18</v>
      </c>
      <c r="E4" s="68">
        <v>22</v>
      </c>
      <c r="F4" s="68">
        <v>19</v>
      </c>
      <c r="G4" s="68">
        <v>8</v>
      </c>
      <c r="H4" s="68">
        <v>27</v>
      </c>
      <c r="I4" s="68">
        <v>26</v>
      </c>
      <c r="J4" s="68">
        <v>23</v>
      </c>
      <c r="K4" s="68">
        <v>20</v>
      </c>
      <c r="L4" s="68">
        <v>13</v>
      </c>
      <c r="M4" s="68">
        <v>28</v>
      </c>
      <c r="N4" s="68">
        <v>21</v>
      </c>
      <c r="O4" s="67">
        <v>15</v>
      </c>
    </row>
    <row r="5" spans="1:15" x14ac:dyDescent="0.3">
      <c r="A5" s="69" t="s">
        <v>0</v>
      </c>
      <c r="B5" s="70">
        <v>8</v>
      </c>
      <c r="C5" s="70">
        <v>13</v>
      </c>
      <c r="D5" s="70">
        <v>6</v>
      </c>
      <c r="E5" s="70">
        <v>51</v>
      </c>
      <c r="F5" s="70">
        <v>9</v>
      </c>
      <c r="G5" s="70">
        <v>8</v>
      </c>
      <c r="H5" s="70">
        <v>36</v>
      </c>
      <c r="I5" s="70">
        <v>16</v>
      </c>
      <c r="J5" s="70">
        <v>12</v>
      </c>
      <c r="K5" s="70">
        <v>6</v>
      </c>
      <c r="L5" s="70">
        <v>16</v>
      </c>
      <c r="M5" s="70">
        <v>45</v>
      </c>
      <c r="N5" s="70">
        <v>5</v>
      </c>
      <c r="O5" s="71">
        <v>9</v>
      </c>
    </row>
    <row r="6" spans="1:15" x14ac:dyDescent="0.3">
      <c r="A6" s="69" t="s">
        <v>1</v>
      </c>
      <c r="B6" s="70">
        <v>15</v>
      </c>
      <c r="C6" s="70">
        <v>5</v>
      </c>
      <c r="D6" s="70">
        <v>12</v>
      </c>
      <c r="E6" s="70">
        <v>6</v>
      </c>
      <c r="F6" s="70">
        <v>56</v>
      </c>
      <c r="G6" s="70">
        <v>10</v>
      </c>
      <c r="H6" s="70">
        <v>17</v>
      </c>
      <c r="I6" s="70">
        <v>12</v>
      </c>
      <c r="J6" s="70">
        <v>10</v>
      </c>
      <c r="K6" s="70">
        <v>5</v>
      </c>
      <c r="L6" s="70">
        <v>9</v>
      </c>
      <c r="M6" s="70">
        <v>7</v>
      </c>
      <c r="N6" s="70">
        <v>6</v>
      </c>
      <c r="O6" s="71">
        <v>44</v>
      </c>
    </row>
    <row r="7" spans="1:15" x14ac:dyDescent="0.3">
      <c r="A7" s="69" t="s">
        <v>2</v>
      </c>
      <c r="B7" s="70">
        <v>7</v>
      </c>
      <c r="C7" s="70">
        <v>58</v>
      </c>
      <c r="D7" s="70">
        <v>11</v>
      </c>
      <c r="E7" s="70">
        <v>15</v>
      </c>
      <c r="F7" s="70">
        <v>6</v>
      </c>
      <c r="G7" s="70">
        <v>14</v>
      </c>
      <c r="H7" s="70">
        <v>15</v>
      </c>
      <c r="I7" s="70">
        <v>5</v>
      </c>
      <c r="J7" s="70">
        <v>11</v>
      </c>
      <c r="K7" s="70">
        <v>11</v>
      </c>
      <c r="L7" s="70">
        <v>38</v>
      </c>
      <c r="M7" s="70">
        <v>9</v>
      </c>
      <c r="N7" s="70">
        <v>54</v>
      </c>
      <c r="O7" s="71">
        <v>17</v>
      </c>
    </row>
    <row r="8" spans="1:15" x14ac:dyDescent="0.3">
      <c r="A8" s="69" t="s">
        <v>3</v>
      </c>
      <c r="B8" s="70">
        <v>41</v>
      </c>
      <c r="C8" s="70">
        <v>8</v>
      </c>
      <c r="D8" s="70">
        <v>16</v>
      </c>
      <c r="E8" s="70">
        <v>8</v>
      </c>
      <c r="F8" s="70">
        <v>8</v>
      </c>
      <c r="G8" s="70">
        <v>41</v>
      </c>
      <c r="H8" s="70">
        <v>7</v>
      </c>
      <c r="I8" s="70">
        <v>11</v>
      </c>
      <c r="J8" s="70">
        <v>49</v>
      </c>
      <c r="K8" s="70">
        <v>9</v>
      </c>
      <c r="L8" s="70">
        <v>10</v>
      </c>
      <c r="M8" s="70">
        <v>8</v>
      </c>
      <c r="N8" s="70">
        <v>7</v>
      </c>
      <c r="O8" s="71">
        <v>13</v>
      </c>
    </row>
    <row r="9" spans="1:15" x14ac:dyDescent="0.3">
      <c r="A9" s="69" t="s">
        <v>4</v>
      </c>
      <c r="B9" s="70">
        <v>12</v>
      </c>
      <c r="C9" s="70">
        <v>7</v>
      </c>
      <c r="D9" s="70">
        <v>40</v>
      </c>
      <c r="E9" s="70">
        <v>9</v>
      </c>
      <c r="F9" s="70">
        <v>11</v>
      </c>
      <c r="G9" s="70">
        <v>15</v>
      </c>
      <c r="H9" s="70">
        <v>11</v>
      </c>
      <c r="I9" s="70">
        <v>43</v>
      </c>
      <c r="J9" s="70">
        <v>5</v>
      </c>
      <c r="K9" s="70">
        <v>12</v>
      </c>
      <c r="L9" s="70">
        <v>14</v>
      </c>
      <c r="M9" s="70">
        <v>17</v>
      </c>
      <c r="N9" s="70">
        <v>15</v>
      </c>
      <c r="O9" s="71">
        <v>11</v>
      </c>
    </row>
    <row r="10" spans="1:15" x14ac:dyDescent="0.3">
      <c r="A10" s="69" t="s">
        <v>5</v>
      </c>
      <c r="B10" s="70">
        <v>17</v>
      </c>
      <c r="C10" s="70">
        <v>9</v>
      </c>
      <c r="D10" s="70">
        <v>15</v>
      </c>
      <c r="E10" s="70">
        <v>11</v>
      </c>
      <c r="F10" s="70">
        <v>10</v>
      </c>
      <c r="G10" s="70">
        <v>12</v>
      </c>
      <c r="H10" s="70">
        <v>14</v>
      </c>
      <c r="I10" s="70">
        <v>13</v>
      </c>
      <c r="J10" s="70">
        <v>13</v>
      </c>
      <c r="K10" s="70">
        <v>57</v>
      </c>
      <c r="L10" s="70">
        <v>13</v>
      </c>
      <c r="M10" s="70">
        <v>14</v>
      </c>
      <c r="N10" s="70">
        <v>13</v>
      </c>
      <c r="O10" s="71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4F827-CCD4-424F-BF78-E8016D7EC65A}">
  <sheetPr codeName="Sheet3"/>
  <dimension ref="B2:M15"/>
  <sheetViews>
    <sheetView workbookViewId="0">
      <selection activeCell="B13" sqref="B13"/>
    </sheetView>
  </sheetViews>
  <sheetFormatPr defaultRowHeight="14.4" x14ac:dyDescent="0.3"/>
  <cols>
    <col min="2" max="2" width="23.5546875" customWidth="1"/>
  </cols>
  <sheetData>
    <row r="2" spans="2:13" x14ac:dyDescent="0.3">
      <c r="C2" s="73" t="s">
        <v>0</v>
      </c>
      <c r="D2" s="73" t="s">
        <v>1</v>
      </c>
      <c r="E2" s="73" t="s">
        <v>2</v>
      </c>
      <c r="F2" s="73" t="s">
        <v>3</v>
      </c>
      <c r="G2" s="73" t="s">
        <v>4</v>
      </c>
      <c r="H2" s="73" t="s">
        <v>5</v>
      </c>
      <c r="I2" s="73" t="s">
        <v>68</v>
      </c>
      <c r="J2" s="73" t="s">
        <v>69</v>
      </c>
    </row>
    <row r="3" spans="2:13" x14ac:dyDescent="0.3">
      <c r="B3" s="73" t="s">
        <v>70</v>
      </c>
      <c r="C3" s="2">
        <v>0.09</v>
      </c>
      <c r="D3" s="2">
        <v>0.08</v>
      </c>
      <c r="E3" s="2">
        <v>0.17</v>
      </c>
      <c r="F3" s="2">
        <v>0.12</v>
      </c>
      <c r="G3" s="2">
        <v>0.4</v>
      </c>
      <c r="H3" s="2">
        <v>0.14000000000000001</v>
      </c>
    </row>
    <row r="4" spans="2:13" x14ac:dyDescent="0.3">
      <c r="B4" s="73" t="s">
        <v>71</v>
      </c>
      <c r="C4">
        <v>1</v>
      </c>
      <c r="D4">
        <v>0</v>
      </c>
      <c r="E4">
        <v>2</v>
      </c>
      <c r="F4">
        <v>3</v>
      </c>
      <c r="G4">
        <v>2</v>
      </c>
      <c r="H4">
        <v>3</v>
      </c>
    </row>
    <row r="6" spans="2:13" x14ac:dyDescent="0.3">
      <c r="B6" s="73" t="s">
        <v>72</v>
      </c>
      <c r="C6">
        <v>8</v>
      </c>
      <c r="M6">
        <v>1</v>
      </c>
    </row>
    <row r="7" spans="2:13" x14ac:dyDescent="0.3">
      <c r="B7" s="73" t="s">
        <v>73</v>
      </c>
      <c r="C7">
        <v>100</v>
      </c>
      <c r="M7">
        <v>0</v>
      </c>
    </row>
    <row r="8" spans="2:13" x14ac:dyDescent="0.3">
      <c r="M8">
        <v>2</v>
      </c>
    </row>
    <row r="9" spans="2:13" x14ac:dyDescent="0.3">
      <c r="M9">
        <v>3</v>
      </c>
    </row>
    <row r="10" spans="2:13" x14ac:dyDescent="0.3">
      <c r="M10">
        <v>2</v>
      </c>
    </row>
    <row r="11" spans="2:13" x14ac:dyDescent="0.3">
      <c r="B11" s="73" t="s">
        <v>74</v>
      </c>
      <c r="C11">
        <f>((C3*C4)+(D3*D4)+(E3*E4)+(F3*F4)+(G3*G4)+(H3*H4)+(I3*I4)+(J3*J4))*C7</f>
        <v>201.00000000000003</v>
      </c>
      <c r="M11">
        <v>3</v>
      </c>
    </row>
    <row r="13" spans="2:13" x14ac:dyDescent="0.3">
      <c r="B13" s="73" t="s">
        <v>75</v>
      </c>
      <c r="C13">
        <f>(C6*C7)/C11</f>
        <v>3.9800995024875618</v>
      </c>
    </row>
    <row r="15" spans="2:13" x14ac:dyDescent="0.3">
      <c r="B15" s="73" t="s">
        <v>76</v>
      </c>
      <c r="C15">
        <f>1-(1/C13)</f>
        <v>0.74875000000000003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Gökhan</dc:creator>
  <cp:lastModifiedBy>Emrah Gultekin</cp:lastModifiedBy>
  <dcterms:created xsi:type="dcterms:W3CDTF">2021-01-25T08:48:24Z</dcterms:created>
  <dcterms:modified xsi:type="dcterms:W3CDTF">2021-01-30T13:45:44Z</dcterms:modified>
</cp:coreProperties>
</file>